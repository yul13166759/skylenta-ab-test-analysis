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3"/>
  </bookViews>
  <sheets>
    <sheet name="Итог" sheetId="1" r:id="rId1"/>
    <sheet name="Положительные исходы" sheetId="2" r:id="rId2"/>
    <sheet name="Отрицательные исходы" sheetId="3" r:id="rId3"/>
    <sheet name="Нейтральные исходы" sheetId="4" r:id="rId4"/>
  </sheets>
  <calcPr calcId="144525"/>
</workbook>
</file>

<file path=xl/calcChain.xml><?xml version="1.0" encoding="utf-8"?>
<calcChain xmlns="http://schemas.openxmlformats.org/spreadsheetml/2006/main">
  <c r="O32" i="4" l="1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4" i="3"/>
  <c r="O3" i="3"/>
  <c r="O2" i="3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B6" i="1"/>
  <c r="B4" i="1"/>
  <c r="B3" i="1"/>
  <c r="B5" i="1" s="1"/>
</calcChain>
</file>

<file path=xl/sharedStrings.xml><?xml version="1.0" encoding="utf-8"?>
<sst xmlns="http://schemas.openxmlformats.org/spreadsheetml/2006/main" count="154" uniqueCount="41">
  <si>
    <t>N (количество клиентов)</t>
  </si>
  <si>
    <t>MDE (₽)</t>
  </si>
  <si>
    <t>Прирост выручки</t>
  </si>
  <si>
    <t>Падение выручки</t>
  </si>
  <si>
    <t>Баланс</t>
  </si>
  <si>
    <t>Количество наблюдений</t>
  </si>
  <si>
    <t>Всего наблюдений по всем ТТ</t>
  </si>
  <si>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</si>
  <si>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</si>
  <si>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</si>
  <si>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</si>
  <si>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</si>
  <si>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</si>
  <si>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</si>
  <si>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</si>
  <si>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</si>
  <si>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</si>
  <si>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</si>
  <si>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</si>
  <si>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</si>
  <si>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</si>
  <si>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Казань</t>
  </si>
  <si>
    <t>Санкт-Петербург</t>
  </si>
  <si>
    <t>Москва</t>
  </si>
  <si>
    <t>Владимир</t>
  </si>
  <si>
    <t>Самара</t>
  </si>
  <si>
    <t>Положительный</t>
  </si>
  <si>
    <t>Волгоград</t>
  </si>
  <si>
    <t>Краснодар</t>
  </si>
  <si>
    <t>Отрицательный</t>
  </si>
  <si>
    <t>Красноярск</t>
  </si>
  <si>
    <t>Мурманск</t>
  </si>
  <si>
    <t>Саратов</t>
  </si>
  <si>
    <t>Тольятти</t>
  </si>
  <si>
    <t>Тюмень</t>
  </si>
  <si>
    <t>Сочи</t>
  </si>
  <si>
    <t>Сахалинск</t>
  </si>
  <si>
    <t>Дмитров</t>
  </si>
  <si>
    <t>Нейтральный</t>
  </si>
  <si>
    <t>выгода/потери при N клиентов</t>
  </si>
  <si>
    <t>необходимое кол-во наблюдений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</si>
</sst>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28.7109375" bestFit="1" customWidth="1"/>
    <col min="2" max="2" width="12.7109375" bestFit="1" customWidth="1"/>
  </cols>
  <sheetData>
    <row r="1" spans="1:2" x14ac:dyDescent="0.25">
      <c r="A1" t="s">
        <v>0</v>
      </c>
      <c r="B1">
        <v>10000</v>
      </c>
    </row>
    <row r="2" spans="1:2" x14ac:dyDescent="0.25">
      <c r="A2" t="s">
        <v>1</v>
      </c>
      <c r="B2">
        <v>1000</v>
      </c>
    </row>
    <row r="3" spans="1:2" x14ac:dyDescent="0.25">
      <c r="A3" t="s">
        <v>2</v>
      </c>
      <c r="B3">
        <f>SUM('Положительные исходы'!O2:O200)</f>
        <v>2636335.3965311795</v>
      </c>
    </row>
    <row r="4" spans="1:2" x14ac:dyDescent="0.25">
      <c r="A4" t="s">
        <v>3</v>
      </c>
      <c r="B4">
        <f>SUM('Отрицательные исходы'!O2:O200)</f>
        <v>-256139.19855245156</v>
      </c>
    </row>
    <row r="5" spans="1:2" x14ac:dyDescent="0.25">
      <c r="A5" t="s">
        <v>4</v>
      </c>
      <c r="B5">
        <f>B3+B4</f>
        <v>2380196.197978728</v>
      </c>
    </row>
    <row r="6" spans="1:2" x14ac:dyDescent="0.25">
      <c r="A6" t="s">
        <v>5</v>
      </c>
      <c r="B6">
        <f>SUM('Нейтральные исходы'!O2:O200)</f>
        <v>4240</v>
      </c>
    </row>
    <row r="7" spans="1:2" x14ac:dyDescent="0.25">
      <c r="A7" t="s">
        <v>6</v>
      </c>
      <c r="B7">
        <v>45318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/>
  </sheetViews>
  <sheetFormatPr defaultRowHeight="15" x14ac:dyDescent="0.25"/>
  <cols>
    <col min="1" max="1" width="16.570312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9" max="9" width="8" bestFit="1" customWidth="1"/>
    <col min="10" max="10" width="10.5703125" bestFit="1" customWidth="1"/>
    <col min="11" max="11" width="13.5703125" bestFit="1" customWidth="1"/>
    <col min="12" max="12" width="7" bestFit="1" customWidth="1"/>
    <col min="13" max="13" width="12.140625" bestFit="1" customWidth="1"/>
    <col min="14" max="14" width="16.28515625" bestFit="1" customWidth="1"/>
    <col min="15" max="15" width="30.28515625" bestFit="1" customWidth="1"/>
  </cols>
  <sheetData>
    <row r="1" spans="1:1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39</v>
      </c>
    </row>
    <row r="2" spans="1:15" x14ac:dyDescent="0.25">
      <c r="A2" t="s">
        <v>21</v>
      </c>
      <c r="B2">
        <v>991</v>
      </c>
      <c r="C2">
        <v>270</v>
      </c>
      <c r="D2">
        <v>294</v>
      </c>
      <c r="E2">
        <v>564</v>
      </c>
      <c r="F2">
        <v>1.24</v>
      </c>
      <c r="G2">
        <v>3249.28</v>
      </c>
      <c r="H2">
        <v>2452.9899999999998</v>
      </c>
      <c r="I2">
        <v>796.3</v>
      </c>
      <c r="J2">
        <v>4719.59</v>
      </c>
      <c r="K2">
        <v>3633.94</v>
      </c>
      <c r="L2">
        <v>2.2307999999999999</v>
      </c>
      <c r="M2">
        <v>2.6100000000000002E-2</v>
      </c>
      <c r="N2" t="s">
        <v>26</v>
      </c>
      <c r="O2">
        <f>I2*Итог!$B$1*E2/Итог!$B$7</f>
        <v>99102.608235138352</v>
      </c>
    </row>
    <row r="3" spans="1:15" x14ac:dyDescent="0.25">
      <c r="A3" t="s">
        <v>22</v>
      </c>
      <c r="B3">
        <v>453</v>
      </c>
      <c r="C3">
        <v>1066</v>
      </c>
      <c r="D3">
        <v>1049</v>
      </c>
      <c r="E3">
        <v>2115</v>
      </c>
      <c r="F3">
        <v>4.67</v>
      </c>
      <c r="G3">
        <v>2501.9699999999998</v>
      </c>
      <c r="H3">
        <v>1889.92</v>
      </c>
      <c r="I3">
        <v>612.04</v>
      </c>
      <c r="J3">
        <v>2993.44</v>
      </c>
      <c r="K3">
        <v>2648.66</v>
      </c>
      <c r="L3">
        <v>4.9817999999999998</v>
      </c>
      <c r="M3">
        <v>0</v>
      </c>
      <c r="N3" t="s">
        <v>26</v>
      </c>
      <c r="O3">
        <f>I3*Итог!$B$1*E3/Итог!$B$7</f>
        <v>285640.27538726333</v>
      </c>
    </row>
    <row r="4" spans="1:15" x14ac:dyDescent="0.25">
      <c r="A4" t="s">
        <v>22</v>
      </c>
      <c r="B4">
        <v>801</v>
      </c>
      <c r="C4">
        <v>225</v>
      </c>
      <c r="D4">
        <v>212</v>
      </c>
      <c r="E4">
        <v>437</v>
      </c>
      <c r="F4">
        <v>0.96</v>
      </c>
      <c r="G4">
        <v>2925.14</v>
      </c>
      <c r="H4">
        <v>2352.2800000000002</v>
      </c>
      <c r="I4">
        <v>572.86</v>
      </c>
      <c r="J4">
        <v>2774.29</v>
      </c>
      <c r="K4">
        <v>2928.29</v>
      </c>
      <c r="L4">
        <v>2.0966</v>
      </c>
      <c r="M4">
        <v>3.6600000000000001E-2</v>
      </c>
      <c r="N4" t="s">
        <v>26</v>
      </c>
      <c r="O4">
        <f>I4*Итог!$B$1*E4/Итог!$B$7</f>
        <v>55240.703473233596</v>
      </c>
    </row>
    <row r="5" spans="1:15" x14ac:dyDescent="0.25">
      <c r="A5" t="s">
        <v>22</v>
      </c>
      <c r="B5">
        <v>573</v>
      </c>
      <c r="C5">
        <v>177</v>
      </c>
      <c r="D5">
        <v>160</v>
      </c>
      <c r="E5">
        <v>337</v>
      </c>
      <c r="F5">
        <v>0.74</v>
      </c>
      <c r="G5">
        <v>2929.05</v>
      </c>
      <c r="H5">
        <v>1641.21</v>
      </c>
      <c r="I5">
        <v>1287.83</v>
      </c>
      <c r="J5">
        <v>3201.1</v>
      </c>
      <c r="K5">
        <v>2619.04</v>
      </c>
      <c r="L5">
        <v>4.0570000000000004</v>
      </c>
      <c r="M5">
        <v>1E-4</v>
      </c>
      <c r="N5" t="s">
        <v>26</v>
      </c>
      <c r="O5">
        <f>I5*Итог!$B$1*E5/Итог!$B$7</f>
        <v>95767.401474027982</v>
      </c>
    </row>
    <row r="6" spans="1:15" x14ac:dyDescent="0.25">
      <c r="A6" t="s">
        <v>22</v>
      </c>
      <c r="B6">
        <v>900</v>
      </c>
      <c r="C6">
        <v>335</v>
      </c>
      <c r="D6">
        <v>341</v>
      </c>
      <c r="E6">
        <v>676</v>
      </c>
      <c r="F6">
        <v>1.49</v>
      </c>
      <c r="G6">
        <v>2450.9899999999998</v>
      </c>
      <c r="H6">
        <v>1689.79</v>
      </c>
      <c r="I6">
        <v>761.2</v>
      </c>
      <c r="J6">
        <v>2865.61</v>
      </c>
      <c r="K6">
        <v>2492.4699999999998</v>
      </c>
      <c r="L6">
        <v>3.6823999999999999</v>
      </c>
      <c r="M6">
        <v>2.9999999999999997E-4</v>
      </c>
      <c r="N6" t="s">
        <v>26</v>
      </c>
      <c r="O6">
        <f>I6*Итог!$B$1*E6/Итог!$B$7</f>
        <v>113546.75846242112</v>
      </c>
    </row>
    <row r="7" spans="1:15" x14ac:dyDescent="0.25">
      <c r="A7" t="s">
        <v>22</v>
      </c>
      <c r="B7">
        <v>117</v>
      </c>
      <c r="C7">
        <v>625</v>
      </c>
      <c r="D7">
        <v>587</v>
      </c>
      <c r="E7">
        <v>1212</v>
      </c>
      <c r="F7">
        <v>2.67</v>
      </c>
      <c r="G7">
        <v>2582.3000000000002</v>
      </c>
      <c r="H7">
        <v>2050.69</v>
      </c>
      <c r="I7">
        <v>531.61</v>
      </c>
      <c r="J7">
        <v>2835</v>
      </c>
      <c r="K7">
        <v>2595.7399999999998</v>
      </c>
      <c r="L7">
        <v>3.4076</v>
      </c>
      <c r="M7">
        <v>6.9999999999999999E-4</v>
      </c>
      <c r="N7" t="s">
        <v>26</v>
      </c>
      <c r="O7">
        <f>I7*Итог!$B$1*E7/Итог!$B$7</f>
        <v>142175.58585992322</v>
      </c>
    </row>
    <row r="8" spans="1:15" x14ac:dyDescent="0.25">
      <c r="A8" t="s">
        <v>22</v>
      </c>
      <c r="B8">
        <v>213</v>
      </c>
      <c r="C8">
        <v>232</v>
      </c>
      <c r="D8">
        <v>255</v>
      </c>
      <c r="E8">
        <v>487</v>
      </c>
      <c r="F8">
        <v>1.07</v>
      </c>
      <c r="G8">
        <v>2977.63</v>
      </c>
      <c r="H8">
        <v>2277.61</v>
      </c>
      <c r="I8">
        <v>700.02</v>
      </c>
      <c r="J8">
        <v>2905.49</v>
      </c>
      <c r="K8">
        <v>2710.04</v>
      </c>
      <c r="L8">
        <v>2.7416999999999998</v>
      </c>
      <c r="M8">
        <v>6.3E-3</v>
      </c>
      <c r="N8" t="s">
        <v>26</v>
      </c>
      <c r="O8">
        <f>I8*Итог!$B$1*E8/Итог!$B$7</f>
        <v>75226.122070700381</v>
      </c>
    </row>
    <row r="9" spans="1:15" x14ac:dyDescent="0.25">
      <c r="A9" t="s">
        <v>22</v>
      </c>
      <c r="B9">
        <v>891</v>
      </c>
      <c r="C9">
        <v>159</v>
      </c>
      <c r="D9">
        <v>167</v>
      </c>
      <c r="E9">
        <v>326</v>
      </c>
      <c r="F9">
        <v>0.72</v>
      </c>
      <c r="G9">
        <v>2618.9499999999998</v>
      </c>
      <c r="H9">
        <v>1980.66</v>
      </c>
      <c r="I9">
        <v>638.29</v>
      </c>
      <c r="J9">
        <v>2899.78</v>
      </c>
      <c r="K9">
        <v>2489.5700000000002</v>
      </c>
      <c r="L9">
        <v>2.1276999999999999</v>
      </c>
      <c r="M9">
        <v>3.4200000000000001E-2</v>
      </c>
      <c r="N9" t="s">
        <v>26</v>
      </c>
      <c r="O9">
        <f>I9*Итог!$B$1*E9/Итог!$B$7</f>
        <v>45916.090736572667</v>
      </c>
    </row>
    <row r="10" spans="1:15" x14ac:dyDescent="0.25">
      <c r="A10" t="s">
        <v>23</v>
      </c>
      <c r="B10">
        <v>2652</v>
      </c>
      <c r="C10">
        <v>2273</v>
      </c>
      <c r="D10">
        <v>2370</v>
      </c>
      <c r="E10">
        <v>4643</v>
      </c>
      <c r="F10">
        <v>10.25</v>
      </c>
      <c r="G10">
        <v>2506.62</v>
      </c>
      <c r="H10">
        <v>1972.85</v>
      </c>
      <c r="I10">
        <v>533.77</v>
      </c>
      <c r="J10">
        <v>2842.18</v>
      </c>
      <c r="K10">
        <v>2565.88</v>
      </c>
      <c r="L10">
        <v>6.7079000000000004</v>
      </c>
      <c r="M10">
        <v>0</v>
      </c>
      <c r="N10" t="s">
        <v>26</v>
      </c>
      <c r="O10">
        <f>I10*Итог!$B$1*E10/Итог!$B$7</f>
        <v>546867.49415243394</v>
      </c>
    </row>
    <row r="11" spans="1:15" x14ac:dyDescent="0.25">
      <c r="A11" t="s">
        <v>23</v>
      </c>
      <c r="B11">
        <v>1287</v>
      </c>
      <c r="C11">
        <v>370</v>
      </c>
      <c r="D11">
        <v>357</v>
      </c>
      <c r="E11">
        <v>727</v>
      </c>
      <c r="F11">
        <v>1.6</v>
      </c>
      <c r="G11">
        <v>2128.56</v>
      </c>
      <c r="H11">
        <v>1394.66</v>
      </c>
      <c r="I11">
        <v>733.9</v>
      </c>
      <c r="J11">
        <v>2437.38</v>
      </c>
      <c r="K11">
        <v>2338.46</v>
      </c>
      <c r="L11">
        <v>4.1433999999999997</v>
      </c>
      <c r="M11">
        <v>0</v>
      </c>
      <c r="N11" t="s">
        <v>26</v>
      </c>
      <c r="O11">
        <f>I11*Итог!$B$1*E11/Итог!$B$7</f>
        <v>117733.63784809568</v>
      </c>
    </row>
    <row r="12" spans="1:15" x14ac:dyDescent="0.25">
      <c r="A12" t="s">
        <v>23</v>
      </c>
      <c r="B12">
        <v>1654</v>
      </c>
      <c r="C12">
        <v>799</v>
      </c>
      <c r="D12">
        <v>775</v>
      </c>
      <c r="E12">
        <v>1574</v>
      </c>
      <c r="F12">
        <v>3.47</v>
      </c>
      <c r="G12">
        <v>3132.3</v>
      </c>
      <c r="H12">
        <v>2507.89</v>
      </c>
      <c r="I12">
        <v>624.41999999999996</v>
      </c>
      <c r="J12">
        <v>3199.66</v>
      </c>
      <c r="K12">
        <v>2950.51</v>
      </c>
      <c r="L12">
        <v>4.0266999999999999</v>
      </c>
      <c r="M12">
        <v>1E-4</v>
      </c>
      <c r="N12" t="s">
        <v>26</v>
      </c>
      <c r="O12">
        <f>I12*Итог!$B$1*E12/Итог!$B$7</f>
        <v>216875.65205878459</v>
      </c>
    </row>
    <row r="13" spans="1:15" x14ac:dyDescent="0.25">
      <c r="A13" t="s">
        <v>23</v>
      </c>
      <c r="B13">
        <v>1002</v>
      </c>
      <c r="C13">
        <v>138</v>
      </c>
      <c r="D13">
        <v>188</v>
      </c>
      <c r="E13">
        <v>326</v>
      </c>
      <c r="F13">
        <v>0.72</v>
      </c>
      <c r="G13">
        <v>4121.75</v>
      </c>
      <c r="H13">
        <v>1844.79</v>
      </c>
      <c r="I13">
        <v>2276.9699999999998</v>
      </c>
      <c r="J13">
        <v>4084.26</v>
      </c>
      <c r="K13">
        <v>2436.54</v>
      </c>
      <c r="L13">
        <v>5.8315000000000001</v>
      </c>
      <c r="M13">
        <v>0</v>
      </c>
      <c r="N13" t="s">
        <v>26</v>
      </c>
      <c r="O13">
        <f>I13*Итог!$B$1*E13/Итог!$B$7</f>
        <v>163796.33258307955</v>
      </c>
    </row>
    <row r="14" spans="1:15" x14ac:dyDescent="0.25">
      <c r="A14" t="s">
        <v>24</v>
      </c>
      <c r="B14">
        <v>11</v>
      </c>
      <c r="C14">
        <v>509</v>
      </c>
      <c r="D14">
        <v>608</v>
      </c>
      <c r="E14">
        <v>1117</v>
      </c>
      <c r="F14">
        <v>2.46</v>
      </c>
      <c r="G14">
        <v>2547.2199999999998</v>
      </c>
      <c r="H14">
        <v>2108.61</v>
      </c>
      <c r="I14">
        <v>438.61</v>
      </c>
      <c r="J14">
        <v>3023.7</v>
      </c>
      <c r="K14">
        <v>2663.04</v>
      </c>
      <c r="L14">
        <v>2.5482</v>
      </c>
      <c r="M14">
        <v>1.0999999999999999E-2</v>
      </c>
      <c r="N14" t="s">
        <v>26</v>
      </c>
      <c r="O14">
        <f>I14*Итог!$B$1*E14/Итог!$B$7</f>
        <v>108108.78017564764</v>
      </c>
    </row>
    <row r="15" spans="1:15" x14ac:dyDescent="0.25">
      <c r="A15" t="s">
        <v>25</v>
      </c>
      <c r="B15">
        <v>33</v>
      </c>
      <c r="C15">
        <v>232</v>
      </c>
      <c r="D15">
        <v>258</v>
      </c>
      <c r="E15">
        <v>490</v>
      </c>
      <c r="F15">
        <v>1.08</v>
      </c>
      <c r="G15">
        <v>4598.22</v>
      </c>
      <c r="H15">
        <v>2311.39</v>
      </c>
      <c r="I15">
        <v>2286.83</v>
      </c>
      <c r="J15">
        <v>2931.23</v>
      </c>
      <c r="K15">
        <v>2371.77</v>
      </c>
      <c r="L15">
        <v>9.4276</v>
      </c>
      <c r="M15">
        <v>0</v>
      </c>
      <c r="N15" t="s">
        <v>26</v>
      </c>
      <c r="O15">
        <f>I15*Итог!$B$1*E15/Итог!$B$7</f>
        <v>247263.05220883535</v>
      </c>
    </row>
    <row r="16" spans="1:15" x14ac:dyDescent="0.25">
      <c r="A16" t="s">
        <v>25</v>
      </c>
      <c r="B16">
        <v>34</v>
      </c>
      <c r="C16">
        <v>225</v>
      </c>
      <c r="D16">
        <v>253</v>
      </c>
      <c r="E16">
        <v>478</v>
      </c>
      <c r="F16">
        <v>1.05</v>
      </c>
      <c r="G16">
        <v>3104.51</v>
      </c>
      <c r="H16">
        <v>1752.61</v>
      </c>
      <c r="I16">
        <v>1351.9</v>
      </c>
      <c r="J16">
        <v>2956.83</v>
      </c>
      <c r="K16">
        <v>2529.6999999999998</v>
      </c>
      <c r="L16">
        <v>5.3376000000000001</v>
      </c>
      <c r="M16">
        <v>0</v>
      </c>
      <c r="N16" t="s">
        <v>26</v>
      </c>
      <c r="O16">
        <f>I16*Итог!$B$1*E16/Итог!$B$7</f>
        <v>142594.1568471689</v>
      </c>
    </row>
    <row r="17" spans="1:15" x14ac:dyDescent="0.25">
      <c r="A17" t="s">
        <v>25</v>
      </c>
      <c r="B17">
        <v>35</v>
      </c>
      <c r="C17">
        <v>214</v>
      </c>
      <c r="D17">
        <v>194</v>
      </c>
      <c r="E17">
        <v>408</v>
      </c>
      <c r="F17">
        <v>0.9</v>
      </c>
      <c r="G17">
        <v>2762.22</v>
      </c>
      <c r="H17">
        <v>1508.84</v>
      </c>
      <c r="I17">
        <v>1253.3900000000001</v>
      </c>
      <c r="J17">
        <v>2977.08</v>
      </c>
      <c r="K17">
        <v>2184.81</v>
      </c>
      <c r="L17">
        <v>4.8780000000000001</v>
      </c>
      <c r="M17">
        <v>0</v>
      </c>
      <c r="N17" t="s">
        <v>26</v>
      </c>
      <c r="O17">
        <f>I17*Итог!$B$1*E17/Итог!$B$7</f>
        <v>112843.26757579771</v>
      </c>
    </row>
    <row r="18" spans="1:15" x14ac:dyDescent="0.25">
      <c r="A18" t="s">
        <v>25</v>
      </c>
      <c r="B18">
        <v>36</v>
      </c>
      <c r="C18">
        <v>131</v>
      </c>
      <c r="D18">
        <v>141</v>
      </c>
      <c r="E18">
        <v>272</v>
      </c>
      <c r="F18">
        <v>0.6</v>
      </c>
      <c r="G18">
        <v>1987.33</v>
      </c>
      <c r="H18">
        <v>860.42</v>
      </c>
      <c r="I18">
        <v>1126.9100000000001</v>
      </c>
      <c r="J18">
        <v>2718.5</v>
      </c>
      <c r="K18">
        <v>1840.83</v>
      </c>
      <c r="L18">
        <v>3.9731000000000001</v>
      </c>
      <c r="M18">
        <v>1E-4</v>
      </c>
      <c r="N18" t="s">
        <v>26</v>
      </c>
      <c r="O18">
        <f>I18*Итог!$B$1*E18/Итог!$B$7</f>
        <v>67637.477382055702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 x14ac:dyDescent="0.25"/>
  <cols>
    <col min="1" max="1" width="10.710937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10" max="10" width="10.5703125" bestFit="1" customWidth="1"/>
    <col min="11" max="11" width="13.5703125" bestFit="1" customWidth="1"/>
    <col min="13" max="13" width="12.140625" bestFit="1" customWidth="1"/>
    <col min="14" max="14" width="15.7109375" bestFit="1" customWidth="1"/>
    <col min="15" max="15" width="30.28515625" bestFit="1" customWidth="1"/>
  </cols>
  <sheetData>
    <row r="1" spans="1:1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39</v>
      </c>
    </row>
    <row r="2" spans="1:15" x14ac:dyDescent="0.25">
      <c r="A2" t="s">
        <v>23</v>
      </c>
      <c r="B2">
        <v>9931</v>
      </c>
      <c r="C2">
        <v>153</v>
      </c>
      <c r="D2">
        <v>137</v>
      </c>
      <c r="E2">
        <v>290</v>
      </c>
      <c r="F2">
        <v>0.64</v>
      </c>
      <c r="G2">
        <v>1415.78</v>
      </c>
      <c r="H2">
        <v>1968.69</v>
      </c>
      <c r="I2">
        <v>-552.91</v>
      </c>
      <c r="J2">
        <v>2038.16</v>
      </c>
      <c r="K2">
        <v>2403.4</v>
      </c>
      <c r="L2">
        <v>-2.1000999999999999</v>
      </c>
      <c r="M2">
        <v>3.6700000000000003E-2</v>
      </c>
      <c r="N2" t="s">
        <v>29</v>
      </c>
      <c r="O2">
        <f>I2*Итог!$B$1*E2/Итог!$B$7</f>
        <v>-35381.945363873077</v>
      </c>
    </row>
    <row r="3" spans="1:15" x14ac:dyDescent="0.25">
      <c r="A3" t="s">
        <v>27</v>
      </c>
      <c r="B3">
        <v>66</v>
      </c>
      <c r="C3">
        <v>657</v>
      </c>
      <c r="D3">
        <v>703</v>
      </c>
      <c r="E3">
        <v>1360</v>
      </c>
      <c r="F3">
        <v>3</v>
      </c>
      <c r="G3">
        <v>2288.87</v>
      </c>
      <c r="H3">
        <v>2601.7600000000002</v>
      </c>
      <c r="I3">
        <v>-312.89</v>
      </c>
      <c r="J3">
        <v>2682.57</v>
      </c>
      <c r="K3">
        <v>2830.19</v>
      </c>
      <c r="L3">
        <v>-2.0931000000000002</v>
      </c>
      <c r="M3">
        <v>3.6499999999999998E-2</v>
      </c>
      <c r="N3" t="s">
        <v>29</v>
      </c>
      <c r="O3">
        <f>I3*Итог!$B$1*E3/Итог!$B$7</f>
        <v>-93898.75987466349</v>
      </c>
    </row>
    <row r="4" spans="1:15" x14ac:dyDescent="0.25">
      <c r="A4" t="s">
        <v>28</v>
      </c>
      <c r="B4">
        <v>1101</v>
      </c>
      <c r="C4">
        <v>785</v>
      </c>
      <c r="D4">
        <v>869</v>
      </c>
      <c r="E4">
        <v>1654</v>
      </c>
      <c r="F4">
        <v>3.65</v>
      </c>
      <c r="G4">
        <v>2176</v>
      </c>
      <c r="H4">
        <v>2523.58</v>
      </c>
      <c r="I4">
        <v>-347.58</v>
      </c>
      <c r="J4">
        <v>2722.62</v>
      </c>
      <c r="K4">
        <v>2960.35</v>
      </c>
      <c r="L4">
        <v>-2.4872999999999998</v>
      </c>
      <c r="M4">
        <v>1.2999999999999999E-2</v>
      </c>
      <c r="N4" t="s">
        <v>29</v>
      </c>
      <c r="O4">
        <f>I4*Итог!$B$1*E4/Итог!$B$7</f>
        <v>-126858.49331391499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workbookViewId="0"/>
  </sheetViews>
  <sheetFormatPr defaultRowHeight="15" x14ac:dyDescent="0.25"/>
  <cols>
    <col min="1" max="1" width="16.570312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9" max="9" width="7.7109375" bestFit="1" customWidth="1"/>
    <col min="10" max="10" width="10.5703125" bestFit="1" customWidth="1"/>
    <col min="11" max="11" width="13.5703125" bestFit="1" customWidth="1"/>
    <col min="12" max="12" width="7.7109375" bestFit="1" customWidth="1"/>
    <col min="13" max="13" width="12.140625" bestFit="1" customWidth="1"/>
    <col min="14" max="14" width="13.5703125" bestFit="1" customWidth="1"/>
    <col min="15" max="15" width="33.140625" bestFit="1" customWidth="1"/>
  </cols>
  <sheetData>
    <row r="1" spans="1:1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40</v>
      </c>
    </row>
    <row r="2" spans="1:15" x14ac:dyDescent="0.25">
      <c r="A2" t="s">
        <v>30</v>
      </c>
      <c r="B2">
        <v>212</v>
      </c>
      <c r="C2">
        <v>593</v>
      </c>
      <c r="D2">
        <v>575</v>
      </c>
      <c r="E2">
        <v>1168</v>
      </c>
      <c r="F2">
        <v>2.58</v>
      </c>
      <c r="G2">
        <v>2144.3200000000002</v>
      </c>
      <c r="H2">
        <v>2222.0500000000002</v>
      </c>
      <c r="I2">
        <v>-77.739999999999995</v>
      </c>
      <c r="J2">
        <v>2708.59</v>
      </c>
      <c r="K2">
        <v>2785.12</v>
      </c>
      <c r="L2">
        <v>-0.4834</v>
      </c>
      <c r="M2">
        <v>0.62890000000000001</v>
      </c>
      <c r="N2" t="s">
        <v>38</v>
      </c>
      <c r="O2">
        <f>ROUNDUP(16*K2^2/(Итог!$B$2^2),0)</f>
        <v>125</v>
      </c>
    </row>
    <row r="3" spans="1:15" x14ac:dyDescent="0.25">
      <c r="A3" t="s">
        <v>30</v>
      </c>
      <c r="B3">
        <v>278</v>
      </c>
      <c r="C3">
        <v>535</v>
      </c>
      <c r="D3">
        <v>489</v>
      </c>
      <c r="E3">
        <v>1024</v>
      </c>
      <c r="F3">
        <v>2.2599999999999998</v>
      </c>
      <c r="G3">
        <v>2499.35</v>
      </c>
      <c r="H3">
        <v>2185.21</v>
      </c>
      <c r="I3">
        <v>314.13</v>
      </c>
      <c r="J3">
        <v>2916</v>
      </c>
      <c r="K3">
        <v>2574.92</v>
      </c>
      <c r="L3">
        <v>1.8304</v>
      </c>
      <c r="M3">
        <v>6.7500000000000004E-2</v>
      </c>
      <c r="N3" t="s">
        <v>38</v>
      </c>
      <c r="O3">
        <f>ROUNDUP(16*K3^2/(Итог!$B$2^2),0)</f>
        <v>107</v>
      </c>
    </row>
    <row r="4" spans="1:15" x14ac:dyDescent="0.25">
      <c r="A4" t="s">
        <v>30</v>
      </c>
      <c r="B4">
        <v>202</v>
      </c>
      <c r="C4">
        <v>551</v>
      </c>
      <c r="D4">
        <v>565</v>
      </c>
      <c r="E4">
        <v>1116</v>
      </c>
      <c r="F4">
        <v>2.46</v>
      </c>
      <c r="G4">
        <v>2927.34</v>
      </c>
      <c r="H4">
        <v>2730.38</v>
      </c>
      <c r="I4">
        <v>196.96</v>
      </c>
      <c r="J4">
        <v>2956.69</v>
      </c>
      <c r="K4">
        <v>2737.89</v>
      </c>
      <c r="L4">
        <v>1.1539999999999999</v>
      </c>
      <c r="M4">
        <v>0.24879999999999999</v>
      </c>
      <c r="N4" t="s">
        <v>38</v>
      </c>
      <c r="O4">
        <f>ROUNDUP(16*K4^2/(Итог!$B$2^2),0)</f>
        <v>120</v>
      </c>
    </row>
    <row r="5" spans="1:15" x14ac:dyDescent="0.25">
      <c r="A5" t="s">
        <v>30</v>
      </c>
      <c r="B5">
        <v>444</v>
      </c>
      <c r="C5">
        <v>650</v>
      </c>
      <c r="D5">
        <v>562</v>
      </c>
      <c r="E5">
        <v>1212</v>
      </c>
      <c r="F5">
        <v>2.67</v>
      </c>
      <c r="G5">
        <v>2404.11</v>
      </c>
      <c r="H5">
        <v>2545.73</v>
      </c>
      <c r="I5">
        <v>-141.63</v>
      </c>
      <c r="J5">
        <v>2810.83</v>
      </c>
      <c r="K5">
        <v>2797.14</v>
      </c>
      <c r="L5">
        <v>-0.87709999999999999</v>
      </c>
      <c r="M5">
        <v>0.38059999999999999</v>
      </c>
      <c r="N5" t="s">
        <v>38</v>
      </c>
      <c r="O5">
        <f>ROUNDUP(16*K5^2/(Итог!$B$2^2),0)</f>
        <v>126</v>
      </c>
    </row>
    <row r="6" spans="1:15" x14ac:dyDescent="0.25">
      <c r="A6" t="s">
        <v>30</v>
      </c>
      <c r="B6">
        <v>277</v>
      </c>
      <c r="C6">
        <v>708</v>
      </c>
      <c r="D6">
        <v>709</v>
      </c>
      <c r="E6">
        <v>1417</v>
      </c>
      <c r="F6">
        <v>3.13</v>
      </c>
      <c r="G6">
        <v>2285.75</v>
      </c>
      <c r="H6">
        <v>2431.37</v>
      </c>
      <c r="I6">
        <v>-145.62</v>
      </c>
      <c r="J6">
        <v>2712.68</v>
      </c>
      <c r="K6">
        <v>2868.59</v>
      </c>
      <c r="L6">
        <v>-0.98170000000000002</v>
      </c>
      <c r="M6">
        <v>0.32640000000000002</v>
      </c>
      <c r="N6" t="s">
        <v>38</v>
      </c>
      <c r="O6">
        <f>ROUNDUP(16*K6^2/(Итог!$B$2^2),0)</f>
        <v>132</v>
      </c>
    </row>
    <row r="7" spans="1:15" x14ac:dyDescent="0.25">
      <c r="A7" t="s">
        <v>31</v>
      </c>
      <c r="B7">
        <v>54</v>
      </c>
      <c r="C7">
        <v>633</v>
      </c>
      <c r="D7">
        <v>640</v>
      </c>
      <c r="E7">
        <v>1273</v>
      </c>
      <c r="F7">
        <v>2.81</v>
      </c>
      <c r="G7">
        <v>1702.71</v>
      </c>
      <c r="H7">
        <v>1688.51</v>
      </c>
      <c r="I7">
        <v>14.2</v>
      </c>
      <c r="J7">
        <v>2565.13</v>
      </c>
      <c r="K7">
        <v>2628.01</v>
      </c>
      <c r="L7">
        <v>9.7600000000000006E-2</v>
      </c>
      <c r="M7">
        <v>0.92230000000000001</v>
      </c>
      <c r="N7" t="s">
        <v>38</v>
      </c>
      <c r="O7">
        <f>ROUNDUP(16*K7^2/(Итог!$B$2^2),0)</f>
        <v>111</v>
      </c>
    </row>
    <row r="8" spans="1:15" x14ac:dyDescent="0.25">
      <c r="A8" t="s">
        <v>31</v>
      </c>
      <c r="B8">
        <v>55</v>
      </c>
      <c r="C8">
        <v>422</v>
      </c>
      <c r="D8">
        <v>425</v>
      </c>
      <c r="E8">
        <v>847</v>
      </c>
      <c r="F8">
        <v>1.87</v>
      </c>
      <c r="G8">
        <v>2109.11</v>
      </c>
      <c r="H8">
        <v>2111.27</v>
      </c>
      <c r="I8">
        <v>-2.17</v>
      </c>
      <c r="J8">
        <v>2790.99</v>
      </c>
      <c r="K8">
        <v>2804.22</v>
      </c>
      <c r="L8">
        <v>-1.1299999999999999E-2</v>
      </c>
      <c r="M8">
        <v>0.99099999999999999</v>
      </c>
      <c r="N8" t="s">
        <v>38</v>
      </c>
      <c r="O8">
        <f>ROUNDUP(16*K8^2/(Итог!$B$2^2),0)</f>
        <v>126</v>
      </c>
    </row>
    <row r="9" spans="1:15" x14ac:dyDescent="0.25">
      <c r="A9" t="s">
        <v>21</v>
      </c>
      <c r="B9">
        <v>699</v>
      </c>
      <c r="C9">
        <v>482</v>
      </c>
      <c r="D9">
        <v>494</v>
      </c>
      <c r="E9">
        <v>976</v>
      </c>
      <c r="F9">
        <v>2.15</v>
      </c>
      <c r="G9">
        <v>2422.29</v>
      </c>
      <c r="H9">
        <v>2574.35</v>
      </c>
      <c r="I9">
        <v>-152.07</v>
      </c>
      <c r="J9">
        <v>3906.82</v>
      </c>
      <c r="K9">
        <v>4082.85</v>
      </c>
      <c r="L9">
        <v>-0.59460000000000002</v>
      </c>
      <c r="M9">
        <v>0.55230000000000001</v>
      </c>
      <c r="N9" t="s">
        <v>38</v>
      </c>
      <c r="O9">
        <f>ROUNDUP(16*K9^2/(Итог!$B$2^2),0)</f>
        <v>267</v>
      </c>
    </row>
    <row r="10" spans="1:15" x14ac:dyDescent="0.25">
      <c r="A10" t="s">
        <v>21</v>
      </c>
      <c r="B10">
        <v>477</v>
      </c>
      <c r="C10">
        <v>382</v>
      </c>
      <c r="D10">
        <v>386</v>
      </c>
      <c r="E10">
        <v>768</v>
      </c>
      <c r="F10">
        <v>1.69</v>
      </c>
      <c r="G10">
        <v>2259.62</v>
      </c>
      <c r="H10">
        <v>2496.9899999999998</v>
      </c>
      <c r="I10">
        <v>-237.36</v>
      </c>
      <c r="J10">
        <v>3482.85</v>
      </c>
      <c r="K10">
        <v>3881.99</v>
      </c>
      <c r="L10">
        <v>-0.8921</v>
      </c>
      <c r="M10">
        <v>0.37259999999999999</v>
      </c>
      <c r="N10" t="s">
        <v>38</v>
      </c>
      <c r="O10">
        <f>ROUNDUP(16*K10^2/(Итог!$B$2^2),0)</f>
        <v>242</v>
      </c>
    </row>
    <row r="11" spans="1:15" x14ac:dyDescent="0.25">
      <c r="A11" t="s">
        <v>21</v>
      </c>
      <c r="B11">
        <v>544</v>
      </c>
      <c r="C11">
        <v>377</v>
      </c>
      <c r="D11">
        <v>416</v>
      </c>
      <c r="E11">
        <v>793</v>
      </c>
      <c r="F11">
        <v>1.75</v>
      </c>
      <c r="G11">
        <v>2621.4299999999998</v>
      </c>
      <c r="H11">
        <v>2635.55</v>
      </c>
      <c r="I11">
        <v>-14.12</v>
      </c>
      <c r="J11">
        <v>3714.89</v>
      </c>
      <c r="K11">
        <v>4639.82</v>
      </c>
      <c r="L11">
        <v>-4.7500000000000001E-2</v>
      </c>
      <c r="M11">
        <v>0.96209999999999996</v>
      </c>
      <c r="N11" t="s">
        <v>38</v>
      </c>
      <c r="O11">
        <f>ROUNDUP(16*K11^2/(Итог!$B$2^2),0)</f>
        <v>345</v>
      </c>
    </row>
    <row r="12" spans="1:15" x14ac:dyDescent="0.25">
      <c r="A12" t="s">
        <v>21</v>
      </c>
      <c r="B12">
        <v>516</v>
      </c>
      <c r="C12">
        <v>634</v>
      </c>
      <c r="D12">
        <v>636</v>
      </c>
      <c r="E12">
        <v>1270</v>
      </c>
      <c r="F12">
        <v>2.8</v>
      </c>
      <c r="G12">
        <v>3237.2</v>
      </c>
      <c r="H12">
        <v>2880.48</v>
      </c>
      <c r="I12">
        <v>356.72</v>
      </c>
      <c r="J12">
        <v>4537.1000000000004</v>
      </c>
      <c r="K12">
        <v>3819.29</v>
      </c>
      <c r="L12">
        <v>1.5155000000000001</v>
      </c>
      <c r="M12">
        <v>0.12989999999999999</v>
      </c>
      <c r="N12" t="s">
        <v>38</v>
      </c>
      <c r="O12">
        <f>ROUNDUP(16*K12^2/(Итог!$B$2^2),0)</f>
        <v>234</v>
      </c>
    </row>
    <row r="13" spans="1:15" x14ac:dyDescent="0.25">
      <c r="A13" t="s">
        <v>21</v>
      </c>
      <c r="B13">
        <v>439</v>
      </c>
      <c r="C13">
        <v>355</v>
      </c>
      <c r="D13">
        <v>351</v>
      </c>
      <c r="E13">
        <v>706</v>
      </c>
      <c r="F13">
        <v>1.56</v>
      </c>
      <c r="G13">
        <v>2481.96</v>
      </c>
      <c r="H13">
        <v>2400.64</v>
      </c>
      <c r="I13">
        <v>81.33</v>
      </c>
      <c r="J13">
        <v>4040.44</v>
      </c>
      <c r="K13">
        <v>3722.12</v>
      </c>
      <c r="L13">
        <v>0.2782</v>
      </c>
      <c r="M13">
        <v>0.78090000000000004</v>
      </c>
      <c r="N13" t="s">
        <v>38</v>
      </c>
      <c r="O13">
        <f>ROUNDUP(16*K13^2/(Итог!$B$2^2),0)</f>
        <v>222</v>
      </c>
    </row>
    <row r="14" spans="1:15" x14ac:dyDescent="0.25">
      <c r="A14" t="s">
        <v>22</v>
      </c>
      <c r="B14">
        <v>112</v>
      </c>
      <c r="C14">
        <v>652</v>
      </c>
      <c r="D14">
        <v>683</v>
      </c>
      <c r="E14">
        <v>1335</v>
      </c>
      <c r="F14">
        <v>2.95</v>
      </c>
      <c r="G14">
        <v>2488.12</v>
      </c>
      <c r="H14">
        <v>2218.64</v>
      </c>
      <c r="I14">
        <v>269.48</v>
      </c>
      <c r="J14">
        <v>2778.18</v>
      </c>
      <c r="K14">
        <v>2780.79</v>
      </c>
      <c r="L14">
        <v>1.7707999999999999</v>
      </c>
      <c r="M14">
        <v>7.6799999999999993E-2</v>
      </c>
      <c r="N14" t="s">
        <v>38</v>
      </c>
      <c r="O14">
        <f>ROUNDUP(16*K14^2/(Итог!$B$2^2),0)</f>
        <v>124</v>
      </c>
    </row>
    <row r="15" spans="1:15" x14ac:dyDescent="0.25">
      <c r="A15" t="s">
        <v>22</v>
      </c>
      <c r="B15">
        <v>394</v>
      </c>
      <c r="C15">
        <v>104</v>
      </c>
      <c r="D15">
        <v>85</v>
      </c>
      <c r="E15">
        <v>189</v>
      </c>
      <c r="F15">
        <v>0.42</v>
      </c>
      <c r="G15">
        <v>1229.6400000000001</v>
      </c>
      <c r="H15">
        <v>973.62</v>
      </c>
      <c r="I15">
        <v>256.02</v>
      </c>
      <c r="J15">
        <v>2208.23</v>
      </c>
      <c r="K15">
        <v>1940.85</v>
      </c>
      <c r="L15">
        <v>0.8478</v>
      </c>
      <c r="M15">
        <v>0.3977</v>
      </c>
      <c r="N15" t="s">
        <v>38</v>
      </c>
      <c r="O15">
        <f>ROUNDUP(16*K15^2/(Итог!$B$2^2),0)</f>
        <v>61</v>
      </c>
    </row>
    <row r="16" spans="1:15" x14ac:dyDescent="0.25">
      <c r="A16" t="s">
        <v>22</v>
      </c>
      <c r="B16">
        <v>576</v>
      </c>
      <c r="C16">
        <v>630</v>
      </c>
      <c r="D16">
        <v>657</v>
      </c>
      <c r="E16">
        <v>1287</v>
      </c>
      <c r="F16">
        <v>2.84</v>
      </c>
      <c r="G16">
        <v>1594.44</v>
      </c>
      <c r="H16">
        <v>1342.13</v>
      </c>
      <c r="I16">
        <v>252.31</v>
      </c>
      <c r="J16">
        <v>2683.73</v>
      </c>
      <c r="K16">
        <v>2415.8200000000002</v>
      </c>
      <c r="L16">
        <v>1.7702</v>
      </c>
      <c r="M16">
        <v>7.6899999999999996E-2</v>
      </c>
      <c r="N16" t="s">
        <v>38</v>
      </c>
      <c r="O16">
        <f>ROUNDUP(16*K16^2/(Итог!$B$2^2),0)</f>
        <v>94</v>
      </c>
    </row>
    <row r="17" spans="1:15" x14ac:dyDescent="0.25">
      <c r="A17" t="s">
        <v>22</v>
      </c>
      <c r="B17">
        <v>309</v>
      </c>
      <c r="C17">
        <v>240</v>
      </c>
      <c r="D17">
        <v>238</v>
      </c>
      <c r="E17">
        <v>478</v>
      </c>
      <c r="F17">
        <v>1.05</v>
      </c>
      <c r="G17">
        <v>2706.28</v>
      </c>
      <c r="H17">
        <v>2392.89</v>
      </c>
      <c r="I17">
        <v>313.38</v>
      </c>
      <c r="J17">
        <v>2814.94</v>
      </c>
      <c r="K17">
        <v>2761.94</v>
      </c>
      <c r="L17">
        <v>1.2285999999999999</v>
      </c>
      <c r="M17">
        <v>0.2198</v>
      </c>
      <c r="N17" t="s">
        <v>38</v>
      </c>
      <c r="O17">
        <f>ROUNDUP(16*K17^2/(Итог!$B$2^2),0)</f>
        <v>123</v>
      </c>
    </row>
    <row r="18" spans="1:15" x14ac:dyDescent="0.25">
      <c r="A18" t="s">
        <v>23</v>
      </c>
      <c r="B18">
        <v>6543</v>
      </c>
      <c r="C18">
        <v>662</v>
      </c>
      <c r="D18">
        <v>689</v>
      </c>
      <c r="E18">
        <v>1351</v>
      </c>
      <c r="F18">
        <v>2.98</v>
      </c>
      <c r="G18">
        <v>1702.44</v>
      </c>
      <c r="H18">
        <v>1528.33</v>
      </c>
      <c r="I18">
        <v>174.11</v>
      </c>
      <c r="J18">
        <v>2453.9</v>
      </c>
      <c r="K18">
        <v>2338.52</v>
      </c>
      <c r="L18">
        <v>1.3341000000000001</v>
      </c>
      <c r="M18">
        <v>0.18240000000000001</v>
      </c>
      <c r="N18" t="s">
        <v>38</v>
      </c>
      <c r="O18">
        <f>ROUNDUP(16*K18^2/(Итог!$B$2^2),0)</f>
        <v>88</v>
      </c>
    </row>
    <row r="19" spans="1:15" x14ac:dyDescent="0.25">
      <c r="A19" t="s">
        <v>23</v>
      </c>
      <c r="B19">
        <v>3987</v>
      </c>
      <c r="C19">
        <v>801</v>
      </c>
      <c r="D19">
        <v>785</v>
      </c>
      <c r="E19">
        <v>1586</v>
      </c>
      <c r="F19">
        <v>3.5</v>
      </c>
      <c r="G19">
        <v>1603</v>
      </c>
      <c r="H19">
        <v>1639.86</v>
      </c>
      <c r="I19">
        <v>-36.86</v>
      </c>
      <c r="J19">
        <v>2518.83</v>
      </c>
      <c r="K19">
        <v>2686.32</v>
      </c>
      <c r="L19">
        <v>-0.28179999999999999</v>
      </c>
      <c r="M19">
        <v>0.77810000000000001</v>
      </c>
      <c r="N19" t="s">
        <v>38</v>
      </c>
      <c r="O19">
        <f>ROUNDUP(16*K19^2/(Итог!$B$2^2),0)</f>
        <v>116</v>
      </c>
    </row>
    <row r="20" spans="1:15" x14ac:dyDescent="0.25">
      <c r="A20" t="s">
        <v>23</v>
      </c>
      <c r="B20">
        <v>8543</v>
      </c>
      <c r="C20">
        <v>148</v>
      </c>
      <c r="D20">
        <v>140</v>
      </c>
      <c r="E20">
        <v>288</v>
      </c>
      <c r="F20">
        <v>0.64</v>
      </c>
      <c r="G20">
        <v>1859.78</v>
      </c>
      <c r="H20">
        <v>1804.25</v>
      </c>
      <c r="I20">
        <v>55.53</v>
      </c>
      <c r="J20">
        <v>2568.98</v>
      </c>
      <c r="K20">
        <v>3015.73</v>
      </c>
      <c r="L20">
        <v>0.1678</v>
      </c>
      <c r="M20">
        <v>0.8669</v>
      </c>
      <c r="N20" t="s">
        <v>38</v>
      </c>
      <c r="O20">
        <f>ROUNDUP(16*K20^2/(Итог!$B$2^2),0)</f>
        <v>146</v>
      </c>
    </row>
    <row r="21" spans="1:15" x14ac:dyDescent="0.25">
      <c r="A21" t="s">
        <v>23</v>
      </c>
      <c r="B21">
        <v>2212</v>
      </c>
      <c r="C21">
        <v>422</v>
      </c>
      <c r="D21">
        <v>397</v>
      </c>
      <c r="E21">
        <v>819</v>
      </c>
      <c r="F21">
        <v>1.81</v>
      </c>
      <c r="G21">
        <v>2813.17</v>
      </c>
      <c r="H21">
        <v>2739.36</v>
      </c>
      <c r="I21">
        <v>73.81</v>
      </c>
      <c r="J21">
        <v>3196.89</v>
      </c>
      <c r="K21">
        <v>2446.98</v>
      </c>
      <c r="L21">
        <v>0.37230000000000002</v>
      </c>
      <c r="M21">
        <v>0.70979999999999999</v>
      </c>
      <c r="N21" t="s">
        <v>38</v>
      </c>
      <c r="O21">
        <f>ROUNDUP(16*K21^2/(Итог!$B$2^2),0)</f>
        <v>96</v>
      </c>
    </row>
    <row r="22" spans="1:15" x14ac:dyDescent="0.25">
      <c r="A22" t="s">
        <v>23</v>
      </c>
      <c r="B22">
        <v>9121</v>
      </c>
      <c r="C22">
        <v>131</v>
      </c>
      <c r="D22">
        <v>108</v>
      </c>
      <c r="E22">
        <v>239</v>
      </c>
      <c r="F22">
        <v>0.53</v>
      </c>
      <c r="G22">
        <v>1976.85</v>
      </c>
      <c r="H22">
        <v>1856.94</v>
      </c>
      <c r="I22">
        <v>119.91</v>
      </c>
      <c r="J22">
        <v>2605.8000000000002</v>
      </c>
      <c r="K22">
        <v>2442.33</v>
      </c>
      <c r="L22">
        <v>0.36649999999999999</v>
      </c>
      <c r="M22">
        <v>0.71430000000000005</v>
      </c>
      <c r="N22" t="s">
        <v>38</v>
      </c>
      <c r="O22">
        <f>ROUNDUP(16*K22^2/(Итог!$B$2^2),0)</f>
        <v>96</v>
      </c>
    </row>
    <row r="23" spans="1:15" x14ac:dyDescent="0.25">
      <c r="A23" t="s">
        <v>23</v>
      </c>
      <c r="B23">
        <v>3786</v>
      </c>
      <c r="C23">
        <v>237</v>
      </c>
      <c r="D23">
        <v>278</v>
      </c>
      <c r="E23">
        <v>515</v>
      </c>
      <c r="F23">
        <v>1.1399999999999999</v>
      </c>
      <c r="G23">
        <v>2613.6799999999998</v>
      </c>
      <c r="H23">
        <v>2688.23</v>
      </c>
      <c r="I23">
        <v>-74.55</v>
      </c>
      <c r="J23">
        <v>2712.24</v>
      </c>
      <c r="K23">
        <v>3292.94</v>
      </c>
      <c r="L23">
        <v>-0.28170000000000001</v>
      </c>
      <c r="M23">
        <v>0.77829999999999999</v>
      </c>
      <c r="N23" t="s">
        <v>38</v>
      </c>
      <c r="O23">
        <f>ROUNDUP(16*K23^2/(Итог!$B$2^2),0)</f>
        <v>174</v>
      </c>
    </row>
    <row r="24" spans="1:15" x14ac:dyDescent="0.25">
      <c r="A24" t="s">
        <v>32</v>
      </c>
      <c r="B24">
        <v>80</v>
      </c>
      <c r="C24">
        <v>844</v>
      </c>
      <c r="D24">
        <v>880</v>
      </c>
      <c r="E24">
        <v>1724</v>
      </c>
      <c r="F24">
        <v>3.8</v>
      </c>
      <c r="G24">
        <v>2517.33</v>
      </c>
      <c r="H24">
        <v>2511.9699999999998</v>
      </c>
      <c r="I24">
        <v>5.36</v>
      </c>
      <c r="J24">
        <v>2797.12</v>
      </c>
      <c r="K24">
        <v>2824.72</v>
      </c>
      <c r="L24">
        <v>3.9600000000000003E-2</v>
      </c>
      <c r="M24">
        <v>0.96840000000000004</v>
      </c>
      <c r="N24" t="s">
        <v>38</v>
      </c>
      <c r="O24">
        <f>ROUNDUP(16*K24^2/(Итог!$B$2^2),0)</f>
        <v>128</v>
      </c>
    </row>
    <row r="25" spans="1:15" x14ac:dyDescent="0.25">
      <c r="A25" t="s">
        <v>32</v>
      </c>
      <c r="B25">
        <v>82</v>
      </c>
      <c r="C25">
        <v>169</v>
      </c>
      <c r="D25">
        <v>229</v>
      </c>
      <c r="E25">
        <v>398</v>
      </c>
      <c r="F25">
        <v>0.88</v>
      </c>
      <c r="G25">
        <v>2586.0100000000002</v>
      </c>
      <c r="H25">
        <v>2655.67</v>
      </c>
      <c r="I25">
        <v>-69.66</v>
      </c>
      <c r="J25">
        <v>2676.44</v>
      </c>
      <c r="K25">
        <v>2929.36</v>
      </c>
      <c r="L25">
        <v>-0.2465</v>
      </c>
      <c r="M25">
        <v>0.8054</v>
      </c>
      <c r="N25" t="s">
        <v>38</v>
      </c>
      <c r="O25">
        <f>ROUNDUP(16*K25^2/(Итог!$B$2^2),0)</f>
        <v>138</v>
      </c>
    </row>
    <row r="26" spans="1:15" x14ac:dyDescent="0.25">
      <c r="A26" t="s">
        <v>33</v>
      </c>
      <c r="B26">
        <v>88</v>
      </c>
      <c r="C26">
        <v>190</v>
      </c>
      <c r="D26">
        <v>167</v>
      </c>
      <c r="E26">
        <v>357</v>
      </c>
      <c r="F26">
        <v>0.79</v>
      </c>
      <c r="G26">
        <v>2902.41</v>
      </c>
      <c r="H26">
        <v>2439.46</v>
      </c>
      <c r="I26">
        <v>462.95</v>
      </c>
      <c r="J26">
        <v>3074.65</v>
      </c>
      <c r="K26">
        <v>2689.34</v>
      </c>
      <c r="L26">
        <v>1.5176000000000001</v>
      </c>
      <c r="M26">
        <v>0.13</v>
      </c>
      <c r="N26" t="s">
        <v>38</v>
      </c>
      <c r="O26">
        <f>ROUNDUP(16*K26^2/(Итог!$B$2^2),0)</f>
        <v>116</v>
      </c>
    </row>
    <row r="27" spans="1:15" x14ac:dyDescent="0.25">
      <c r="A27" t="s">
        <v>34</v>
      </c>
      <c r="B27">
        <v>19</v>
      </c>
      <c r="C27">
        <v>130</v>
      </c>
      <c r="D27">
        <v>146</v>
      </c>
      <c r="E27">
        <v>276</v>
      </c>
      <c r="F27">
        <v>0.61</v>
      </c>
      <c r="G27">
        <v>2043.82</v>
      </c>
      <c r="H27">
        <v>1743.38</v>
      </c>
      <c r="I27">
        <v>300.45</v>
      </c>
      <c r="J27">
        <v>2442.27</v>
      </c>
      <c r="K27">
        <v>2891.33</v>
      </c>
      <c r="L27">
        <v>0.9355</v>
      </c>
      <c r="M27">
        <v>0.3503</v>
      </c>
      <c r="N27" t="s">
        <v>38</v>
      </c>
      <c r="O27">
        <f>ROUNDUP(16*K27^2/(Итог!$B$2^2),0)</f>
        <v>134</v>
      </c>
    </row>
    <row r="28" spans="1:15" x14ac:dyDescent="0.25">
      <c r="A28" t="s">
        <v>35</v>
      </c>
      <c r="B28">
        <v>72</v>
      </c>
      <c r="C28">
        <v>609</v>
      </c>
      <c r="D28">
        <v>639</v>
      </c>
      <c r="E28">
        <v>1248</v>
      </c>
      <c r="F28">
        <v>2.75</v>
      </c>
      <c r="G28">
        <v>2371.4299999999998</v>
      </c>
      <c r="H28">
        <v>2523.38</v>
      </c>
      <c r="I28">
        <v>-151.94</v>
      </c>
      <c r="J28">
        <v>2906.82</v>
      </c>
      <c r="K28">
        <v>2795.92</v>
      </c>
      <c r="L28">
        <v>-0.94040000000000001</v>
      </c>
      <c r="M28">
        <v>0.34720000000000001</v>
      </c>
      <c r="N28" t="s">
        <v>38</v>
      </c>
      <c r="O28">
        <f>ROUNDUP(16*K28^2/(Итог!$B$2^2),0)</f>
        <v>126</v>
      </c>
    </row>
    <row r="29" spans="1:15" x14ac:dyDescent="0.25">
      <c r="A29" t="s">
        <v>35</v>
      </c>
      <c r="B29">
        <v>73</v>
      </c>
      <c r="C29">
        <v>187</v>
      </c>
      <c r="D29">
        <v>167</v>
      </c>
      <c r="E29">
        <v>354</v>
      </c>
      <c r="F29">
        <v>0.78</v>
      </c>
      <c r="G29">
        <v>2092.1799999999998</v>
      </c>
      <c r="H29">
        <v>2521.96</v>
      </c>
      <c r="I29">
        <v>-429.78</v>
      </c>
      <c r="J29">
        <v>2530.27</v>
      </c>
      <c r="K29">
        <v>2875.46</v>
      </c>
      <c r="L29">
        <v>-1.4851000000000001</v>
      </c>
      <c r="M29">
        <v>0.13850000000000001</v>
      </c>
      <c r="N29" t="s">
        <v>38</v>
      </c>
      <c r="O29">
        <f>ROUNDUP(16*K29^2/(Итог!$B$2^2),0)</f>
        <v>133</v>
      </c>
    </row>
    <row r="30" spans="1:15" x14ac:dyDescent="0.25">
      <c r="A30" t="s">
        <v>28</v>
      </c>
      <c r="B30">
        <v>1989</v>
      </c>
      <c r="C30">
        <v>239</v>
      </c>
      <c r="D30">
        <v>270</v>
      </c>
      <c r="E30">
        <v>509</v>
      </c>
      <c r="F30">
        <v>1.1200000000000001</v>
      </c>
      <c r="G30">
        <v>4407.38</v>
      </c>
      <c r="H30">
        <v>4163.96</v>
      </c>
      <c r="I30">
        <v>243.43</v>
      </c>
      <c r="J30">
        <v>2737.9</v>
      </c>
      <c r="K30">
        <v>2492.1</v>
      </c>
      <c r="L30">
        <v>1.044</v>
      </c>
      <c r="M30">
        <v>0.29699999999999999</v>
      </c>
      <c r="N30" t="s">
        <v>38</v>
      </c>
      <c r="O30">
        <f>ROUNDUP(16*K30^2/(Итог!$B$2^2),0)</f>
        <v>100</v>
      </c>
    </row>
    <row r="31" spans="1:15" x14ac:dyDescent="0.25">
      <c r="A31" t="s">
        <v>36</v>
      </c>
      <c r="B31">
        <v>69</v>
      </c>
      <c r="C31">
        <v>75</v>
      </c>
      <c r="D31">
        <v>78</v>
      </c>
      <c r="E31">
        <v>153</v>
      </c>
      <c r="F31">
        <v>0.34</v>
      </c>
      <c r="G31">
        <v>1171.45</v>
      </c>
      <c r="H31">
        <v>600.15</v>
      </c>
      <c r="I31">
        <v>571.29999999999995</v>
      </c>
      <c r="J31">
        <v>2578.1</v>
      </c>
      <c r="K31">
        <v>1690.14</v>
      </c>
      <c r="L31">
        <v>1.6143000000000001</v>
      </c>
      <c r="M31">
        <v>0.1089</v>
      </c>
      <c r="N31" t="s">
        <v>38</v>
      </c>
      <c r="O31">
        <f>ROUNDUP(16*K31^2/(Итог!$B$2^2),0)</f>
        <v>46</v>
      </c>
    </row>
    <row r="32" spans="1:15" x14ac:dyDescent="0.25">
      <c r="A32" t="s">
        <v>37</v>
      </c>
      <c r="B32">
        <v>2</v>
      </c>
      <c r="C32">
        <v>78</v>
      </c>
      <c r="D32">
        <v>71</v>
      </c>
      <c r="E32">
        <v>149</v>
      </c>
      <c r="F32">
        <v>0.33</v>
      </c>
      <c r="G32">
        <v>579.33000000000004</v>
      </c>
      <c r="H32">
        <v>483.45</v>
      </c>
      <c r="I32">
        <v>95.88</v>
      </c>
      <c r="J32">
        <v>1860.76</v>
      </c>
      <c r="K32">
        <v>1654.92</v>
      </c>
      <c r="L32">
        <v>0.33289999999999997</v>
      </c>
      <c r="M32">
        <v>0.73970000000000002</v>
      </c>
      <c r="N32" t="s">
        <v>38</v>
      </c>
      <c r="O32">
        <f>ROUNDUP(16*K32^2/(Итог!$B$2^2),0)</f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</vt:lpstr>
      <vt:lpstr>Положительные исходы</vt:lpstr>
      <vt:lpstr>Отрицательные исходы</vt:lpstr>
      <vt:lpstr>Нейтральные исходы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username</cp:lastModifiedBy>
  <dcterms:created xsi:type="dcterms:W3CDTF">2026-10-03T19:40:01Z</dcterms:created>
  <dcterms:modified xsi:type="dcterms:W3CDTF">2026-10-03T20:34:56Z</dcterms:modified>
</cp:coreProperties>
</file>